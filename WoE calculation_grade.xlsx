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bge-my.sharepoint.com/personal/thao_thanh_tran_19_unibge_hu/Documents/THESIS/Credit Risk Model/Working files_Excel/"/>
    </mc:Choice>
  </mc:AlternateContent>
  <xr:revisionPtr revIDLastSave="21" documentId="13_ncr:1_{3AA99BA5-CA7A-0446-B127-21926820381D}" xr6:coauthVersionLast="47" xr6:coauthVersionMax="47" xr10:uidLastSave="{1136302C-EA3C-7B4B-AFD4-4B6B52930E2E}"/>
  <bookViews>
    <workbookView xWindow="380" yWindow="500" windowWidth="28040" windowHeight="15940" xr2:uid="{7A37C7FF-2FC9-324D-BC76-CE36FB427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S10" i="1"/>
  <c r="I4" i="1"/>
  <c r="K4" i="1" s="1"/>
  <c r="J4" i="1"/>
  <c r="J5" i="1"/>
  <c r="J6" i="1"/>
  <c r="J7" i="1"/>
  <c r="J8" i="1"/>
  <c r="J9" i="1"/>
  <c r="J10" i="1"/>
  <c r="I5" i="1"/>
  <c r="K5" i="1" s="1"/>
  <c r="L5" i="1" s="1"/>
  <c r="M5" i="1" s="1"/>
  <c r="I6" i="1"/>
  <c r="K6" i="1" s="1"/>
  <c r="L6" i="1" s="1"/>
  <c r="M6" i="1" s="1"/>
  <c r="I7" i="1"/>
  <c r="K7" i="1" s="1"/>
  <c r="I8" i="1"/>
  <c r="K8" i="1" s="1"/>
  <c r="I9" i="1"/>
  <c r="K9" i="1" s="1"/>
  <c r="I10" i="1"/>
  <c r="K10" i="1" s="1"/>
  <c r="N7" i="1" l="1"/>
  <c r="N8" i="1"/>
  <c r="N6" i="1"/>
  <c r="N5" i="1"/>
  <c r="N4" i="1"/>
  <c r="I11" i="1"/>
  <c r="O4" i="1"/>
  <c r="O5" i="1"/>
  <c r="L4" i="1"/>
  <c r="M4" i="1" s="1"/>
  <c r="K11" i="1"/>
  <c r="O6" i="1"/>
  <c r="O10" i="1"/>
  <c r="L10" i="1"/>
  <c r="M10" i="1" s="1"/>
  <c r="O9" i="1"/>
  <c r="L9" i="1"/>
  <c r="M9" i="1" s="1"/>
  <c r="P7" i="1"/>
  <c r="O8" i="1"/>
  <c r="O7" i="1"/>
  <c r="N10" i="1"/>
  <c r="N9" i="1"/>
  <c r="L8" i="1"/>
  <c r="M8" i="1" s="1"/>
  <c r="L7" i="1"/>
  <c r="M7" i="1" s="1"/>
  <c r="P5" i="1" l="1"/>
  <c r="P8" i="1"/>
  <c r="P6" i="1"/>
  <c r="T6" i="1" s="1"/>
  <c r="P4" i="1"/>
  <c r="T4" i="1" s="1"/>
  <c r="Q7" i="1"/>
  <c r="Q6" i="1"/>
  <c r="K12" i="1"/>
  <c r="T5" i="1"/>
  <c r="Q5" i="1"/>
  <c r="P9" i="1"/>
  <c r="Q9" i="1" s="1"/>
  <c r="P10" i="1"/>
  <c r="Q10" i="1" s="1"/>
  <c r="Q8" i="1"/>
  <c r="T7" i="1"/>
  <c r="Q4" i="1" l="1"/>
  <c r="Q11" i="1" s="1"/>
  <c r="T9" i="1"/>
  <c r="T8" i="1"/>
</calcChain>
</file>

<file path=xl/sharedStrings.xml><?xml version="1.0" encoding="utf-8"?>
<sst xmlns="http://schemas.openxmlformats.org/spreadsheetml/2006/main" count="22" uniqueCount="22">
  <si>
    <t>grade</t>
  </si>
  <si>
    <t>A</t>
  </si>
  <si>
    <t>B</t>
  </si>
  <si>
    <t>C</t>
  </si>
  <si>
    <t>D</t>
  </si>
  <si>
    <t>E</t>
  </si>
  <si>
    <t>F</t>
  </si>
  <si>
    <t>G</t>
  </si>
  <si>
    <t>n_good</t>
  </si>
  <si>
    <t>n_obs</t>
  </si>
  <si>
    <t>prop_good</t>
  </si>
  <si>
    <t>prop_n_obs</t>
  </si>
  <si>
    <t>n_bad</t>
  </si>
  <si>
    <t>prop_bad</t>
  </si>
  <si>
    <t>prop_n_good</t>
  </si>
  <si>
    <t>proportion of good in the SAME GRADE</t>
  </si>
  <si>
    <t>proportion of good in the total GOOD</t>
  </si>
  <si>
    <t>prop_n_bad</t>
  </si>
  <si>
    <t>WoE</t>
  </si>
  <si>
    <t>IV calculation</t>
  </si>
  <si>
    <t>diff_prop_good</t>
  </si>
  <si>
    <t>diff_WoE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</si>
</sst>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CCCCCC"/>
      <name val="Helvetica"/>
      <family val="2"/>
    </font>
    <font>
      <sz val="12"/>
      <color rgb="FFCCCCCC"/>
      <name val="Helvetica"/>
      <family val="2"/>
    </font>
    <font>
      <b/>
      <sz val="12"/>
      <color rgb="FFFF0000"/>
      <name val="Helvetica"/>
      <family val="2"/>
    </font>
    <font>
      <sz val="12"/>
      <color rgb="FFFF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5" fillId="2" borderId="0" xfId="0" applyFont="1" applyFill="1"/>
    <xf numFmtId="0" fontId="0" fillId="2" borderId="0" xfId="0" applyFill="1"/>
    <xf numFmtId="0" fontId="0" fillId="0" borderId="2" xfId="0" applyBorder="1"/>
    <xf numFmtId="0" fontId="0" fillId="2" borderId="2" xfId="0" applyFill="1" applyBorder="1"/>
    <xf numFmtId="0" fontId="1" fillId="0" borderId="1" xfId="0" applyFont="1" applyBorder="1"/>
    <xf numFmtId="0" fontId="2" fillId="3" borderId="1" xfId="0" applyFont="1" applyFill="1" applyBorder="1"/>
    <xf numFmtId="1" fontId="0" fillId="3" borderId="0" xfId="0" applyNumberFormat="1" applyFill="1"/>
    <xf numFmtId="1" fontId="0" fillId="3" borderId="2" xfId="0" applyNumberFormat="1" applyFill="1" applyBorder="1"/>
    <xf numFmtId="0" fontId="0" fillId="3" borderId="0" xfId="0" applyFill="1"/>
    <xf numFmtId="0" fontId="0" fillId="3" borderId="2" xfId="0" applyFill="1" applyBorder="1"/>
    <xf numFmtId="0" fontId="2" fillId="3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50FC-8C09-0843-BF24-ACDF740E47D5}">
  <dimension ref="E3:T12"/>
  <sheetViews>
    <sheetView tabSelected="1" topLeftCell="E1" zoomScale="125" workbookViewId="0">
      <selection activeCell="P17" sqref="P17"/>
    </sheetView>
  </sheetViews>
  <sheetFormatPr baseColWidth="10" defaultRowHeight="16" x14ac:dyDescent="0.2"/>
  <cols>
    <col min="8" max="8" width="32.33203125" bestFit="1" customWidth="1"/>
    <col min="9" max="9" width="13.6640625" bestFit="1" customWidth="1"/>
    <col min="14" max="14" width="30.83203125" bestFit="1" customWidth="1"/>
    <col min="19" max="19" width="15.5" bestFit="1" customWidth="1"/>
  </cols>
  <sheetData>
    <row r="3" spans="5:20" x14ac:dyDescent="0.2">
      <c r="F3" s="1" t="s">
        <v>0</v>
      </c>
      <c r="G3" s="4" t="s">
        <v>9</v>
      </c>
      <c r="H3" s="5" t="s">
        <v>10</v>
      </c>
      <c r="I3" s="12" t="s">
        <v>8</v>
      </c>
      <c r="J3" s="6" t="s">
        <v>11</v>
      </c>
      <c r="K3" s="12" t="s">
        <v>12</v>
      </c>
      <c r="L3" s="5" t="s">
        <v>13</v>
      </c>
      <c r="M3" s="11"/>
      <c r="N3" s="12" t="s">
        <v>14</v>
      </c>
      <c r="O3" s="12" t="s">
        <v>17</v>
      </c>
      <c r="P3" s="17" t="s">
        <v>18</v>
      </c>
      <c r="Q3" s="17" t="s">
        <v>19</v>
      </c>
      <c r="S3" s="1" t="s">
        <v>20</v>
      </c>
      <c r="T3" s="1" t="s">
        <v>21</v>
      </c>
    </row>
    <row r="4" spans="5:20" x14ac:dyDescent="0.2">
      <c r="E4" s="1">
        <v>0</v>
      </c>
      <c r="F4" s="2" t="s">
        <v>1</v>
      </c>
      <c r="G4" s="7">
        <v>58701</v>
      </c>
      <c r="H4" s="18">
        <v>0.99637100000000001</v>
      </c>
      <c r="I4" s="13">
        <f>H4*G4</f>
        <v>58487.974070999997</v>
      </c>
      <c r="J4">
        <f>G4/SUM($G$4:$G$10)</f>
        <v>0.17425157699443414</v>
      </c>
      <c r="K4" s="13">
        <f>G4-I4</f>
        <v>213.02592900000309</v>
      </c>
      <c r="L4" s="8">
        <f>K4/G4</f>
        <v>3.6290000000000528E-3</v>
      </c>
      <c r="M4">
        <f>L4+H4</f>
        <v>1</v>
      </c>
      <c r="N4" s="15">
        <f>I4/SUM($I$4:$I$10)</f>
        <v>0.17692910804056092</v>
      </c>
      <c r="O4" s="15">
        <f>K4/SUM($K$4:$K$10)</f>
        <v>3.3802545823372311E-2</v>
      </c>
      <c r="P4">
        <f>LN(N4/O4)</f>
        <v>1.655213012928936</v>
      </c>
      <c r="Q4">
        <f>(N4-O4)*P4</f>
        <v>0.23690494827767358</v>
      </c>
      <c r="S4">
        <f t="shared" ref="S4:S9" si="0">H4-H5</f>
        <v>5.4089999999999971E-3</v>
      </c>
      <c r="T4">
        <f t="shared" ref="T4:T8" si="1">P4-P5</f>
        <v>0.91792427245656794</v>
      </c>
    </row>
    <row r="5" spans="5:20" x14ac:dyDescent="0.2">
      <c r="E5" s="1">
        <v>1</v>
      </c>
      <c r="F5" s="2" t="s">
        <v>2</v>
      </c>
      <c r="G5" s="7">
        <v>94045</v>
      </c>
      <c r="H5" s="18">
        <v>0.99096200000000001</v>
      </c>
      <c r="I5" s="13">
        <f t="shared" ref="I5:I10" si="2">H5*G5</f>
        <v>93195.021290000004</v>
      </c>
      <c r="J5">
        <f t="shared" ref="J5:J10" si="3">G5/SUM($G$4:$G$10)</f>
        <v>0.27916883116883118</v>
      </c>
      <c r="K5" s="13">
        <f t="shared" ref="K5:K10" si="4">G5-I5</f>
        <v>849.97870999999577</v>
      </c>
      <c r="L5" s="8">
        <f t="shared" ref="L5:L10" si="5">K5/G5</f>
        <v>9.0379999999999558E-3</v>
      </c>
      <c r="M5">
        <f t="shared" ref="M5:M10" si="6">L5+H5</f>
        <v>1</v>
      </c>
      <c r="N5" s="15">
        <f t="shared" ref="N5:N10" si="7">I5/SUM($I$4:$I$10)</f>
        <v>0.28191969806723838</v>
      </c>
      <c r="O5" s="15">
        <f t="shared" ref="O5:O10" si="8">K5/SUM($K$4:$K$10)</f>
        <v>0.13487299141723411</v>
      </c>
      <c r="P5">
        <f t="shared" ref="P5:P10" si="9">LN(N5/O5)</f>
        <v>0.73728874047236803</v>
      </c>
      <c r="Q5">
        <f t="shared" ref="Q5:Q10" si="10">(N5-O5)*P5</f>
        <v>0.10841588113659144</v>
      </c>
      <c r="S5">
        <f t="shared" si="0"/>
        <v>8.2720000000000571E-3</v>
      </c>
      <c r="T5">
        <f t="shared" si="1"/>
        <v>0.65822893741686717</v>
      </c>
    </row>
    <row r="6" spans="5:20" x14ac:dyDescent="0.2">
      <c r="E6" s="1">
        <v>2</v>
      </c>
      <c r="F6" s="2" t="s">
        <v>3</v>
      </c>
      <c r="G6" s="7">
        <v>96363</v>
      </c>
      <c r="H6" s="18">
        <v>0.98268999999999995</v>
      </c>
      <c r="I6" s="13">
        <f t="shared" si="2"/>
        <v>94694.95646999999</v>
      </c>
      <c r="J6">
        <f t="shared" si="3"/>
        <v>0.28604972170686455</v>
      </c>
      <c r="K6" s="13">
        <f t="shared" si="4"/>
        <v>1668.0435300000099</v>
      </c>
      <c r="L6" s="8">
        <f t="shared" si="5"/>
        <v>1.7310000000000103E-2</v>
      </c>
      <c r="M6">
        <f t="shared" si="6"/>
        <v>1</v>
      </c>
      <c r="N6" s="15">
        <f t="shared" si="7"/>
        <v>0.28645707857547587</v>
      </c>
      <c r="O6" s="15">
        <f t="shared" si="8"/>
        <v>0.26468194798110339</v>
      </c>
      <c r="P6">
        <f t="shared" si="9"/>
        <v>7.9059803055500866E-2</v>
      </c>
      <c r="Q6">
        <f t="shared" si="10"/>
        <v>1.7215375362988992E-3</v>
      </c>
      <c r="S6">
        <f t="shared" si="0"/>
        <v>1.565799999999995E-2</v>
      </c>
      <c r="T6">
        <f t="shared" si="1"/>
        <v>0.66031514717641548</v>
      </c>
    </row>
    <row r="7" spans="5:20" x14ac:dyDescent="0.2">
      <c r="E7" s="1">
        <v>3</v>
      </c>
      <c r="F7" s="2" t="s">
        <v>4</v>
      </c>
      <c r="G7" s="7">
        <v>50170</v>
      </c>
      <c r="H7" s="18">
        <v>0.967032</v>
      </c>
      <c r="I7" s="13">
        <f t="shared" si="2"/>
        <v>48515.995439999999</v>
      </c>
      <c r="J7">
        <f t="shared" si="3"/>
        <v>0.14892764378478665</v>
      </c>
      <c r="K7" s="13">
        <f t="shared" si="4"/>
        <v>1654.0045600000012</v>
      </c>
      <c r="L7" s="8">
        <f t="shared" si="5"/>
        <v>3.2968000000000025E-2</v>
      </c>
      <c r="M7">
        <f t="shared" si="6"/>
        <v>1</v>
      </c>
      <c r="N7" s="15">
        <f t="shared" si="7"/>
        <v>0.14676336349894634</v>
      </c>
      <c r="O7" s="15">
        <f t="shared" si="8"/>
        <v>0.26245427114868247</v>
      </c>
      <c r="P7">
        <f t="shared" si="9"/>
        <v>-0.58125534412091462</v>
      </c>
      <c r="Q7">
        <f t="shared" si="10"/>
        <v>6.7245958337608325E-2</v>
      </c>
      <c r="S7">
        <f t="shared" si="0"/>
        <v>1.0183000000000053E-2</v>
      </c>
      <c r="T7">
        <f t="shared" si="1"/>
        <v>0.27975419087877051</v>
      </c>
    </row>
    <row r="8" spans="5:20" x14ac:dyDescent="0.2">
      <c r="E8" s="1">
        <v>4</v>
      </c>
      <c r="F8" s="2" t="s">
        <v>5</v>
      </c>
      <c r="G8" s="7">
        <v>27995</v>
      </c>
      <c r="H8" s="18">
        <v>0.95684899999999995</v>
      </c>
      <c r="I8" s="13">
        <f t="shared" si="2"/>
        <v>26786.987754999998</v>
      </c>
      <c r="J8">
        <f t="shared" si="3"/>
        <v>8.3102040816326536E-2</v>
      </c>
      <c r="K8" s="13">
        <f t="shared" si="4"/>
        <v>1208.0122450000017</v>
      </c>
      <c r="L8" s="8">
        <f t="shared" si="5"/>
        <v>4.3151000000000064E-2</v>
      </c>
      <c r="M8">
        <f t="shared" si="6"/>
        <v>1</v>
      </c>
      <c r="N8" s="15">
        <f t="shared" si="7"/>
        <v>8.103200573903116E-2</v>
      </c>
      <c r="O8" s="15">
        <f t="shared" si="8"/>
        <v>0.1916850660315948</v>
      </c>
      <c r="P8">
        <f t="shared" si="9"/>
        <v>-0.86100953499968513</v>
      </c>
      <c r="Q8">
        <f t="shared" si="10"/>
        <v>9.5273339988792338E-2</v>
      </c>
      <c r="S8">
        <f t="shared" si="0"/>
        <v>2.595499999999995E-2</v>
      </c>
      <c r="T8">
        <f t="shared" si="1"/>
        <v>0.49843614498570954</v>
      </c>
    </row>
    <row r="9" spans="5:20" x14ac:dyDescent="0.2">
      <c r="E9" s="1">
        <v>5</v>
      </c>
      <c r="F9" s="2" t="s">
        <v>6</v>
      </c>
      <c r="G9" s="7">
        <v>7872</v>
      </c>
      <c r="H9" s="18">
        <v>0.930894</v>
      </c>
      <c r="I9" s="13">
        <f t="shared" si="2"/>
        <v>7327.9975679999998</v>
      </c>
      <c r="J9">
        <f t="shared" si="3"/>
        <v>2.3367717996289426E-2</v>
      </c>
      <c r="K9" s="13">
        <f t="shared" si="4"/>
        <v>544.00243200000023</v>
      </c>
      <c r="L9" s="8">
        <f t="shared" si="5"/>
        <v>6.9106000000000029E-2</v>
      </c>
      <c r="M9">
        <f t="shared" si="6"/>
        <v>1</v>
      </c>
      <c r="N9" s="15">
        <f t="shared" si="7"/>
        <v>2.216756682075776E-2</v>
      </c>
      <c r="O9" s="15">
        <f t="shared" si="8"/>
        <v>8.6321262496199327E-2</v>
      </c>
      <c r="P9">
        <f t="shared" si="9"/>
        <v>-1.3594456799853947</v>
      </c>
      <c r="Q9">
        <f t="shared" si="10"/>
        <v>8.7213464441076749E-2</v>
      </c>
      <c r="S9">
        <f t="shared" si="0"/>
        <v>2.6325000000000043E-2</v>
      </c>
      <c r="T9">
        <f>P9-P10</f>
        <v>0.35144874313505992</v>
      </c>
    </row>
    <row r="10" spans="5:20" ht="17" thickBot="1" x14ac:dyDescent="0.25">
      <c r="E10" s="1">
        <v>6</v>
      </c>
      <c r="F10" s="2" t="s">
        <v>7</v>
      </c>
      <c r="G10" s="7">
        <v>1729</v>
      </c>
      <c r="H10" s="18">
        <v>0.90456899999999996</v>
      </c>
      <c r="I10" s="14">
        <f t="shared" si="2"/>
        <v>1563.9998009999999</v>
      </c>
      <c r="J10" s="9">
        <f t="shared" si="3"/>
        <v>5.1324675324675327E-3</v>
      </c>
      <c r="K10" s="14">
        <f t="shared" si="4"/>
        <v>165.00019900000007</v>
      </c>
      <c r="L10" s="10">
        <f t="shared" si="5"/>
        <v>9.5431000000000044E-2</v>
      </c>
      <c r="M10" s="9">
        <f t="shared" si="6"/>
        <v>1</v>
      </c>
      <c r="N10" s="16">
        <f t="shared" si="7"/>
        <v>4.7311792579895319E-3</v>
      </c>
      <c r="O10" s="15">
        <f t="shared" si="8"/>
        <v>2.6181915101813599E-2</v>
      </c>
      <c r="P10">
        <f t="shared" si="9"/>
        <v>-1.7108944231204546</v>
      </c>
      <c r="Q10">
        <f t="shared" si="10"/>
        <v>3.6699944327028639E-2</v>
      </c>
      <c r="S10" t="e">
        <f>H10-H11</f>
        <v>#VALUE!</v>
      </c>
    </row>
    <row r="11" spans="5:20" ht="17" thickTop="1" x14ac:dyDescent="0.2">
      <c r="H11" t="s">
        <v>15</v>
      </c>
      <c r="I11" s="3">
        <f>SUM(I4:I10)</f>
        <v>330572.93239500001</v>
      </c>
      <c r="K11" s="3">
        <f>SUM(K4:K10)</f>
        <v>6302.067605000012</v>
      </c>
      <c r="N11" t="s">
        <v>16</v>
      </c>
      <c r="Q11" s="17">
        <f>SUM(Q4:Q10)</f>
        <v>0.63347507404506986</v>
      </c>
    </row>
    <row r="12" spans="5:20" x14ac:dyDescent="0.2">
      <c r="I12" s="3"/>
      <c r="K12" s="3">
        <f>I11+K11</f>
        <v>336875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 Thao</dc:creator>
  <cp:lastModifiedBy>Tran Thanh Thao</cp:lastModifiedBy>
  <dcterms:created xsi:type="dcterms:W3CDTF">2025-10-13T19:43:19Z</dcterms:created>
  <dcterms:modified xsi:type="dcterms:W3CDTF">2025-11-23T23:35:19Z</dcterms:modified>
</cp:coreProperties>
</file>